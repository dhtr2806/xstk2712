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A5AC63-AAD8-4EEF-8555-CF24F4851C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rnet_Data" sheetId="2" r:id="rId1"/>
    <sheet name="BMI_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" l="1" a="1"/>
  <c r="I12" i="1" s="1"/>
  <c r="H12" i="1" a="1"/>
  <c r="H12" i="1" s="1"/>
  <c r="E2" i="2" a="1"/>
  <c r="E2" i="2" s="1"/>
  <c r="D2" i="2" a="1"/>
  <c r="D2" i="2" s="1"/>
  <c r="C2" i="2" a="1"/>
  <c r="C2" i="2" s="1"/>
  <c r="D2" i="1" a="1"/>
  <c r="D2" i="1" s="1"/>
  <c r="E2" i="1" a="1"/>
  <c r="E2" i="1" s="1"/>
  <c r="B2" i="2" a="1"/>
  <c r="B2" i="2" s="1"/>
  <c r="H3" i="1" l="1"/>
  <c r="H6" i="1"/>
  <c r="H5" i="1"/>
  <c r="H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<sst xmlns="http://schemas.openxmlformats.org/spreadsheetml/2006/main" count="21" uniqueCount="21">
  <si>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STT</t>
  </si>
  <si>
    <t>Chiều cao (m)</t>
  </si>
  <si>
    <t>Cân nặng (kg)</t>
  </si>
  <si>
    <t>Nhóm BMI</t>
  </si>
  <si>
    <t>Tần số</t>
  </si>
  <si>
    <t>Tần suất (%)</t>
  </si>
  <si>
    <t>Gầy</t>
  </si>
  <si>
    <t>Bình thường</t>
  </si>
  <si>
    <t>Thừa cân</t>
  </si>
  <si>
    <t>Béo phì</t>
  </si>
  <si>
    <t xml:space="preserve">Bài 4: </t>
  </si>
  <si>
    <t>Chỉ tiêu</t>
  </si>
  <si>
    <t>Giá trị</t>
  </si>
  <si>
    <t>Trung bình</t>
  </si>
  <si>
    <t>Trung vị</t>
  </si>
  <si>
    <t>Phương sai mẫu</t>
  </si>
  <si>
    <t>Độ lệch chuẩn mẫu</t>
  </si>
  <si>
    <t>Bài 2</t>
  </si>
  <si>
    <t>BMI(bài 1)</t>
  </si>
  <si>
    <t>Phân loại BMI (bài 3)</t>
  </si>
  <si>
    <t>Thoi_gian_su_dung_Internet (gio/ngay)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</si>
</sst>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Arial Unicode MS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1B12-8739-7248-8E3F-E0862A5B8BA7}">
  <dimension ref="A1:E101"/>
  <sheetViews>
    <sheetView workbookViewId="0">
      <selection activeCell="I6" sqref="I6"/>
    </sheetView>
  </sheetViews>
  <sheetFormatPr defaultColWidth="8.77734375" defaultRowHeight="14.4"/>
  <sheetData>
    <row r="1" spans="1:5">
      <c r="A1" t="s">
        <v>20</v>
      </c>
    </row>
    <row r="2" spans="1:5">
      <c r="A2">
        <v>3.6</v>
      </c>
      <c r="B2" s="5" cm="1">
        <f t="array" ref="B2:B62">_xlfn.UNIQUE(A2:A101)</f>
        <v>3.6</v>
      </c>
      <c r="C2" s="7" cm="1">
        <f t="array" ref="C2:C62">COUNTIF($A$2:$A$101,_xlfn.ANCHORARRAY( B2))</f>
        <v>1</v>
      </c>
      <c r="D2" s="6" cm="1">
        <f t="array" ref="D2:D62">_xlfn.ANCHORARRAY(B2) *_xlfn.ANCHORARRAY( C2)</f>
        <v>3.6</v>
      </c>
      <c r="E2" cm="1">
        <f t="array" ref="E2:E62">_xlfn.ANCHORARRAY(B2)^2 *_xlfn.ANCHORARRAY( C2)</f>
        <v>12.96</v>
      </c>
    </row>
    <row r="3" spans="1:5">
      <c r="A3">
        <v>1.9</v>
      </c>
      <c r="B3">
        <v>1.9</v>
      </c>
      <c r="C3">
        <v>4</v>
      </c>
      <c r="D3">
        <v>7.6</v>
      </c>
      <c r="E3">
        <v>14.44</v>
      </c>
    </row>
    <row r="4" spans="1:5">
      <c r="A4">
        <v>6.7</v>
      </c>
      <c r="B4">
        <v>6.7</v>
      </c>
      <c r="C4">
        <v>1</v>
      </c>
      <c r="D4">
        <v>6.7</v>
      </c>
      <c r="E4">
        <v>44.89</v>
      </c>
    </row>
    <row r="5" spans="1:5">
      <c r="A5">
        <v>1.2</v>
      </c>
      <c r="B5">
        <v>1.2</v>
      </c>
      <c r="C5">
        <v>2</v>
      </c>
      <c r="D5">
        <v>2.4</v>
      </c>
      <c r="E5">
        <v>2.88</v>
      </c>
    </row>
    <row r="6" spans="1:5">
      <c r="A6">
        <v>5.6</v>
      </c>
      <c r="B6">
        <v>5.6</v>
      </c>
      <c r="C6">
        <v>1</v>
      </c>
      <c r="D6">
        <v>5.6</v>
      </c>
      <c r="E6">
        <v>31.359999999999996</v>
      </c>
    </row>
    <row r="7" spans="1:5">
      <c r="A7">
        <v>4</v>
      </c>
      <c r="B7">
        <v>4</v>
      </c>
      <c r="C7">
        <v>2</v>
      </c>
      <c r="D7">
        <v>8</v>
      </c>
      <c r="E7">
        <v>32</v>
      </c>
    </row>
    <row r="8" spans="1:5">
      <c r="A8">
        <v>1.1000000000000001</v>
      </c>
      <c r="B8">
        <v>1.1000000000000001</v>
      </c>
      <c r="C8">
        <v>5</v>
      </c>
      <c r="D8">
        <v>5.5</v>
      </c>
      <c r="E8">
        <v>6.0500000000000007</v>
      </c>
    </row>
    <row r="9" spans="1:5">
      <c r="A9">
        <v>5.3</v>
      </c>
      <c r="B9">
        <v>5.3</v>
      </c>
      <c r="C9">
        <v>1</v>
      </c>
      <c r="D9">
        <v>5.3</v>
      </c>
      <c r="E9">
        <v>28.09</v>
      </c>
    </row>
    <row r="10" spans="1:5">
      <c r="A10">
        <v>0.9</v>
      </c>
      <c r="B10">
        <v>0.9</v>
      </c>
      <c r="C10">
        <v>3</v>
      </c>
      <c r="D10">
        <v>2.7</v>
      </c>
      <c r="E10">
        <v>2.4300000000000002</v>
      </c>
    </row>
    <row r="11" spans="1:5">
      <c r="A11">
        <v>4.5999999999999996</v>
      </c>
      <c r="B11">
        <v>4.5999999999999996</v>
      </c>
      <c r="C11">
        <v>2</v>
      </c>
      <c r="D11">
        <v>9.1999999999999993</v>
      </c>
      <c r="E11">
        <v>42.319999999999993</v>
      </c>
    </row>
    <row r="12" spans="1:5">
      <c r="A12">
        <v>1.2</v>
      </c>
      <c r="B12">
        <v>1.4</v>
      </c>
      <c r="C12">
        <v>1</v>
      </c>
      <c r="D12">
        <v>1.4</v>
      </c>
      <c r="E12">
        <v>1.9599999999999997</v>
      </c>
    </row>
    <row r="13" spans="1:5">
      <c r="A13">
        <v>1.4</v>
      </c>
      <c r="B13">
        <v>4.5</v>
      </c>
      <c r="C13">
        <v>2</v>
      </c>
      <c r="D13">
        <v>9</v>
      </c>
      <c r="E13">
        <v>40.5</v>
      </c>
    </row>
    <row r="14" spans="1:5">
      <c r="A14">
        <v>4.5</v>
      </c>
      <c r="B14">
        <v>8.4</v>
      </c>
      <c r="C14">
        <v>1</v>
      </c>
      <c r="D14">
        <v>8.4</v>
      </c>
      <c r="E14">
        <v>70.56</v>
      </c>
    </row>
    <row r="15" spans="1:5">
      <c r="A15">
        <v>8.4</v>
      </c>
      <c r="B15">
        <v>1.7</v>
      </c>
      <c r="C15">
        <v>2</v>
      </c>
      <c r="D15">
        <v>3.4</v>
      </c>
      <c r="E15">
        <v>5.7799999999999994</v>
      </c>
    </row>
    <row r="16" spans="1:5">
      <c r="A16">
        <v>1.7</v>
      </c>
      <c r="B16">
        <v>2.6</v>
      </c>
      <c r="C16">
        <v>1</v>
      </c>
      <c r="D16">
        <v>2.6</v>
      </c>
      <c r="E16">
        <v>6.7600000000000007</v>
      </c>
    </row>
    <row r="17" spans="1:5">
      <c r="A17">
        <v>2.6</v>
      </c>
      <c r="B17">
        <v>6.5</v>
      </c>
      <c r="C17">
        <v>1</v>
      </c>
      <c r="D17">
        <v>6.5</v>
      </c>
      <c r="E17">
        <v>42.25</v>
      </c>
    </row>
    <row r="18" spans="1:5">
      <c r="A18">
        <v>6.5</v>
      </c>
      <c r="B18">
        <v>9.5</v>
      </c>
      <c r="C18">
        <v>2</v>
      </c>
      <c r="D18">
        <v>19</v>
      </c>
      <c r="E18">
        <v>180.5</v>
      </c>
    </row>
    <row r="19" spans="1:5">
      <c r="A19">
        <v>9.5</v>
      </c>
      <c r="B19">
        <v>6</v>
      </c>
      <c r="C19">
        <v>4</v>
      </c>
      <c r="D19">
        <v>24</v>
      </c>
      <c r="E19">
        <v>144</v>
      </c>
    </row>
    <row r="20" spans="1:5">
      <c r="A20">
        <v>6</v>
      </c>
      <c r="B20">
        <v>4.3</v>
      </c>
      <c r="C20">
        <v>1</v>
      </c>
      <c r="D20">
        <v>4.3</v>
      </c>
      <c r="E20">
        <v>18.489999999999998</v>
      </c>
    </row>
    <row r="21" spans="1:5">
      <c r="A21">
        <v>4.3</v>
      </c>
      <c r="B21">
        <v>9.8000000000000007</v>
      </c>
      <c r="C21">
        <v>2</v>
      </c>
      <c r="D21">
        <v>19.600000000000001</v>
      </c>
      <c r="E21">
        <v>192.08000000000004</v>
      </c>
    </row>
    <row r="22" spans="1:5">
      <c r="A22">
        <v>9.8000000000000007</v>
      </c>
      <c r="B22">
        <v>8.6999999999999993</v>
      </c>
      <c r="C22">
        <v>2</v>
      </c>
      <c r="D22">
        <v>17.399999999999999</v>
      </c>
      <c r="E22">
        <v>151.37999999999997</v>
      </c>
    </row>
    <row r="23" spans="1:5">
      <c r="A23">
        <v>0.9</v>
      </c>
      <c r="B23">
        <v>3.3</v>
      </c>
      <c r="C23">
        <v>2</v>
      </c>
      <c r="D23">
        <v>6.6</v>
      </c>
      <c r="E23">
        <v>21.779999999999998</v>
      </c>
    </row>
    <row r="24" spans="1:5">
      <c r="A24">
        <v>8.6999999999999993</v>
      </c>
      <c r="B24">
        <v>1.6</v>
      </c>
      <c r="C24">
        <v>3</v>
      </c>
      <c r="D24">
        <v>4.8000000000000007</v>
      </c>
      <c r="E24">
        <v>7.6800000000000015</v>
      </c>
    </row>
    <row r="25" spans="1:5">
      <c r="A25">
        <v>3.3</v>
      </c>
      <c r="B25">
        <v>3.4</v>
      </c>
      <c r="C25">
        <v>1</v>
      </c>
      <c r="D25">
        <v>3.4</v>
      </c>
      <c r="E25">
        <v>11.559999999999999</v>
      </c>
    </row>
    <row r="26" spans="1:5">
      <c r="A26">
        <v>1.9</v>
      </c>
      <c r="B26">
        <v>8.3000000000000007</v>
      </c>
      <c r="C26">
        <v>3</v>
      </c>
      <c r="D26">
        <v>24.900000000000002</v>
      </c>
      <c r="E26">
        <v>206.67000000000004</v>
      </c>
    </row>
    <row r="27" spans="1:5">
      <c r="A27">
        <v>1.6</v>
      </c>
      <c r="B27">
        <v>2.2000000000000002</v>
      </c>
      <c r="C27">
        <v>1</v>
      </c>
      <c r="D27">
        <v>2.2000000000000002</v>
      </c>
      <c r="E27">
        <v>4.8400000000000007</v>
      </c>
    </row>
    <row r="28" spans="1:5">
      <c r="A28">
        <v>3.4</v>
      </c>
      <c r="B28">
        <v>6.6</v>
      </c>
      <c r="C28">
        <v>2</v>
      </c>
      <c r="D28">
        <v>13.2</v>
      </c>
      <c r="E28">
        <v>87.11999999999999</v>
      </c>
    </row>
    <row r="29" spans="1:5">
      <c r="A29">
        <v>8.3000000000000007</v>
      </c>
      <c r="B29">
        <v>5.7</v>
      </c>
      <c r="C29">
        <v>2</v>
      </c>
      <c r="D29">
        <v>11.4</v>
      </c>
      <c r="E29">
        <v>64.98</v>
      </c>
    </row>
    <row r="30" spans="1:5">
      <c r="A30">
        <v>2.2000000000000002</v>
      </c>
      <c r="B30">
        <v>2.5</v>
      </c>
      <c r="C30">
        <v>1</v>
      </c>
      <c r="D30">
        <v>2.5</v>
      </c>
      <c r="E30">
        <v>6.25</v>
      </c>
    </row>
    <row r="31" spans="1:5">
      <c r="A31">
        <v>6</v>
      </c>
      <c r="B31">
        <v>7</v>
      </c>
      <c r="C31">
        <v>1</v>
      </c>
      <c r="D31">
        <v>7</v>
      </c>
      <c r="E31">
        <v>49</v>
      </c>
    </row>
    <row r="32" spans="1:5">
      <c r="A32">
        <v>6.6</v>
      </c>
      <c r="B32">
        <v>3.5</v>
      </c>
      <c r="C32">
        <v>2</v>
      </c>
      <c r="D32">
        <v>7</v>
      </c>
      <c r="E32">
        <v>24.5</v>
      </c>
    </row>
    <row r="33" spans="1:5">
      <c r="A33">
        <v>4</v>
      </c>
      <c r="B33">
        <v>6.1</v>
      </c>
      <c r="C33">
        <v>2</v>
      </c>
      <c r="D33">
        <v>12.2</v>
      </c>
      <c r="E33">
        <v>74.419999999999987</v>
      </c>
    </row>
    <row r="34" spans="1:5">
      <c r="A34">
        <v>5.7</v>
      </c>
      <c r="B34">
        <v>4.8</v>
      </c>
      <c r="C34">
        <v>3</v>
      </c>
      <c r="D34">
        <v>14.399999999999999</v>
      </c>
      <c r="E34">
        <v>69.12</v>
      </c>
    </row>
    <row r="35" spans="1:5">
      <c r="A35">
        <v>1.1000000000000001</v>
      </c>
      <c r="B35">
        <v>8</v>
      </c>
      <c r="C35">
        <v>1</v>
      </c>
      <c r="D35">
        <v>8</v>
      </c>
      <c r="E35">
        <v>64</v>
      </c>
    </row>
    <row r="36" spans="1:5">
      <c r="A36">
        <v>1.1000000000000001</v>
      </c>
      <c r="B36">
        <v>7.1</v>
      </c>
      <c r="C36">
        <v>2</v>
      </c>
      <c r="D36">
        <v>14.2</v>
      </c>
      <c r="E36">
        <v>100.82</v>
      </c>
    </row>
    <row r="37" spans="1:5">
      <c r="A37">
        <v>2.5</v>
      </c>
      <c r="B37">
        <v>2.8</v>
      </c>
      <c r="C37">
        <v>1</v>
      </c>
      <c r="D37">
        <v>2.8</v>
      </c>
      <c r="E37">
        <v>7.839999999999999</v>
      </c>
    </row>
    <row r="38" spans="1:5">
      <c r="A38">
        <v>7</v>
      </c>
      <c r="B38">
        <v>5.5</v>
      </c>
      <c r="C38">
        <v>1</v>
      </c>
      <c r="D38">
        <v>5.5</v>
      </c>
      <c r="E38">
        <v>30.25</v>
      </c>
    </row>
    <row r="39" spans="1:5">
      <c r="A39">
        <v>4.5999999999999996</v>
      </c>
      <c r="B39">
        <v>8.8000000000000007</v>
      </c>
      <c r="C39">
        <v>3</v>
      </c>
      <c r="D39">
        <v>26.400000000000002</v>
      </c>
      <c r="E39">
        <v>232.32000000000005</v>
      </c>
    </row>
    <row r="40" spans="1:5">
      <c r="A40">
        <v>3.5</v>
      </c>
      <c r="B40">
        <v>7.4</v>
      </c>
      <c r="C40">
        <v>1</v>
      </c>
      <c r="D40">
        <v>7.4</v>
      </c>
      <c r="E40">
        <v>54.760000000000005</v>
      </c>
    </row>
    <row r="41" spans="1:5">
      <c r="A41">
        <v>6.1</v>
      </c>
      <c r="B41">
        <v>3.2</v>
      </c>
      <c r="C41">
        <v>2</v>
      </c>
      <c r="D41">
        <v>6.4</v>
      </c>
      <c r="E41">
        <v>20.480000000000004</v>
      </c>
    </row>
    <row r="42" spans="1:5">
      <c r="A42">
        <v>4.8</v>
      </c>
      <c r="B42">
        <v>7.7</v>
      </c>
      <c r="C42">
        <v>1</v>
      </c>
      <c r="D42">
        <v>7.7</v>
      </c>
      <c r="E42">
        <v>59.290000000000006</v>
      </c>
    </row>
    <row r="43" spans="1:5">
      <c r="A43">
        <v>3.3</v>
      </c>
      <c r="B43">
        <v>5.0999999999999996</v>
      </c>
      <c r="C43">
        <v>1</v>
      </c>
      <c r="D43">
        <v>5.0999999999999996</v>
      </c>
      <c r="E43">
        <v>26.009999999999998</v>
      </c>
    </row>
    <row r="44" spans="1:5">
      <c r="A44">
        <v>8</v>
      </c>
      <c r="B44">
        <v>6.8</v>
      </c>
      <c r="C44">
        <v>2</v>
      </c>
      <c r="D44">
        <v>13.6</v>
      </c>
      <c r="E44">
        <v>92.47999999999999</v>
      </c>
    </row>
    <row r="45" spans="1:5">
      <c r="A45">
        <v>7.1</v>
      </c>
      <c r="B45">
        <v>7.8</v>
      </c>
      <c r="C45">
        <v>2</v>
      </c>
      <c r="D45">
        <v>15.6</v>
      </c>
      <c r="E45">
        <v>121.67999999999999</v>
      </c>
    </row>
    <row r="46" spans="1:5">
      <c r="A46">
        <v>2.8</v>
      </c>
      <c r="B46">
        <v>5.9</v>
      </c>
      <c r="C46">
        <v>1</v>
      </c>
      <c r="D46">
        <v>5.9</v>
      </c>
      <c r="E46">
        <v>34.81</v>
      </c>
    </row>
    <row r="47" spans="1:5">
      <c r="A47">
        <v>6</v>
      </c>
      <c r="B47">
        <v>8.5</v>
      </c>
      <c r="C47">
        <v>1</v>
      </c>
      <c r="D47">
        <v>8.5</v>
      </c>
      <c r="E47">
        <v>72.25</v>
      </c>
    </row>
    <row r="48" spans="1:5">
      <c r="A48">
        <v>5.5</v>
      </c>
      <c r="B48">
        <v>5</v>
      </c>
      <c r="C48">
        <v>1</v>
      </c>
      <c r="D48">
        <v>5</v>
      </c>
      <c r="E48">
        <v>25</v>
      </c>
    </row>
    <row r="49" spans="1:5">
      <c r="A49">
        <v>8.8000000000000007</v>
      </c>
      <c r="B49">
        <v>7.2</v>
      </c>
      <c r="C49">
        <v>1</v>
      </c>
      <c r="D49">
        <v>7.2</v>
      </c>
      <c r="E49">
        <v>51.84</v>
      </c>
    </row>
    <row r="50" spans="1:5">
      <c r="A50">
        <v>7.4</v>
      </c>
      <c r="B50">
        <v>9.9</v>
      </c>
      <c r="C50">
        <v>1</v>
      </c>
      <c r="D50">
        <v>9.9</v>
      </c>
      <c r="E50">
        <v>98.01</v>
      </c>
    </row>
    <row r="51" spans="1:5">
      <c r="A51">
        <v>3.2</v>
      </c>
      <c r="B51">
        <v>4.2</v>
      </c>
      <c r="C51">
        <v>2</v>
      </c>
      <c r="D51">
        <v>8.4</v>
      </c>
      <c r="E51">
        <v>35.28</v>
      </c>
    </row>
    <row r="52" spans="1:5">
      <c r="A52">
        <v>9.8000000000000007</v>
      </c>
      <c r="B52">
        <v>6.9</v>
      </c>
      <c r="C52">
        <v>1</v>
      </c>
      <c r="D52">
        <v>6.9</v>
      </c>
      <c r="E52">
        <v>47.610000000000007</v>
      </c>
    </row>
    <row r="53" spans="1:5">
      <c r="A53">
        <v>1.6</v>
      </c>
      <c r="B53">
        <v>0.7</v>
      </c>
      <c r="C53">
        <v>1</v>
      </c>
      <c r="D53">
        <v>0.7</v>
      </c>
      <c r="E53">
        <v>0.48999999999999994</v>
      </c>
    </row>
    <row r="54" spans="1:5">
      <c r="A54">
        <v>4.5</v>
      </c>
      <c r="B54">
        <v>4.9000000000000004</v>
      </c>
      <c r="C54">
        <v>1</v>
      </c>
      <c r="D54">
        <v>4.9000000000000004</v>
      </c>
      <c r="E54">
        <v>24.010000000000005</v>
      </c>
    </row>
    <row r="55" spans="1:5">
      <c r="A55">
        <v>7.7</v>
      </c>
      <c r="B55">
        <v>2.1</v>
      </c>
      <c r="C55">
        <v>1</v>
      </c>
      <c r="D55">
        <v>2.1</v>
      </c>
      <c r="E55">
        <v>4.41</v>
      </c>
    </row>
    <row r="56" spans="1:5">
      <c r="A56">
        <v>1.9</v>
      </c>
      <c r="B56">
        <v>2.9</v>
      </c>
      <c r="C56">
        <v>1</v>
      </c>
      <c r="D56">
        <v>2.9</v>
      </c>
      <c r="E56">
        <v>8.41</v>
      </c>
    </row>
    <row r="57" spans="1:5">
      <c r="A57">
        <v>5.0999999999999996</v>
      </c>
      <c r="B57">
        <v>1.3</v>
      </c>
      <c r="C57">
        <v>1</v>
      </c>
      <c r="D57">
        <v>1.3</v>
      </c>
      <c r="E57">
        <v>1.6900000000000002</v>
      </c>
    </row>
    <row r="58" spans="1:5">
      <c r="A58">
        <v>0.9</v>
      </c>
      <c r="B58">
        <v>8.9</v>
      </c>
      <c r="C58">
        <v>2</v>
      </c>
      <c r="D58">
        <v>17.8</v>
      </c>
      <c r="E58">
        <v>158.42000000000002</v>
      </c>
    </row>
    <row r="59" spans="1:5">
      <c r="A59">
        <v>6.8</v>
      </c>
      <c r="B59">
        <v>3.1</v>
      </c>
      <c r="C59">
        <v>1</v>
      </c>
      <c r="D59">
        <v>3.1</v>
      </c>
      <c r="E59">
        <v>9.6100000000000012</v>
      </c>
    </row>
    <row r="60" spans="1:5">
      <c r="A60">
        <v>7.8</v>
      </c>
      <c r="B60">
        <v>4.4000000000000004</v>
      </c>
      <c r="C60">
        <v>1</v>
      </c>
      <c r="D60">
        <v>4.4000000000000004</v>
      </c>
      <c r="E60">
        <v>19.360000000000003</v>
      </c>
    </row>
    <row r="61" spans="1:5">
      <c r="A61">
        <v>5.9</v>
      </c>
      <c r="B61">
        <v>3.9</v>
      </c>
      <c r="C61">
        <v>1</v>
      </c>
      <c r="D61">
        <v>3.9</v>
      </c>
      <c r="E61">
        <v>15.209999999999999</v>
      </c>
    </row>
    <row r="62" spans="1:5">
      <c r="A62">
        <v>8.8000000000000007</v>
      </c>
      <c r="B62">
        <v>9.6</v>
      </c>
      <c r="C62">
        <v>1</v>
      </c>
      <c r="D62">
        <v>9.6</v>
      </c>
      <c r="E62">
        <v>92.16</v>
      </c>
    </row>
    <row r="63" spans="1:5">
      <c r="A63">
        <v>3.5</v>
      </c>
    </row>
    <row r="64" spans="1:5">
      <c r="A64">
        <v>7.1</v>
      </c>
    </row>
    <row r="65" spans="1:1">
      <c r="A65">
        <v>6.1</v>
      </c>
    </row>
    <row r="66" spans="1:1">
      <c r="A66">
        <v>6</v>
      </c>
    </row>
    <row r="67" spans="1:1">
      <c r="A67">
        <v>4.8</v>
      </c>
    </row>
    <row r="68" spans="1:1">
      <c r="A68">
        <v>8.5</v>
      </c>
    </row>
    <row r="69" spans="1:1">
      <c r="A69">
        <v>9.5</v>
      </c>
    </row>
    <row r="70" spans="1:1">
      <c r="A70">
        <v>5</v>
      </c>
    </row>
    <row r="71" spans="1:1">
      <c r="A71">
        <v>6.8</v>
      </c>
    </row>
    <row r="72" spans="1:1">
      <c r="A72">
        <v>1.1000000000000001</v>
      </c>
    </row>
    <row r="73" spans="1:1">
      <c r="A73">
        <v>7.2</v>
      </c>
    </row>
    <row r="74" spans="1:1">
      <c r="A74">
        <v>6.6</v>
      </c>
    </row>
    <row r="75" spans="1:1">
      <c r="A75">
        <v>9.9</v>
      </c>
    </row>
    <row r="76" spans="1:1">
      <c r="A76">
        <v>8.3000000000000007</v>
      </c>
    </row>
    <row r="77" spans="1:1">
      <c r="A77">
        <v>3.2</v>
      </c>
    </row>
    <row r="78" spans="1:1">
      <c r="A78">
        <v>4.2</v>
      </c>
    </row>
    <row r="79" spans="1:1">
      <c r="A79">
        <v>6.9</v>
      </c>
    </row>
    <row r="80" spans="1:1">
      <c r="A80">
        <v>0.7</v>
      </c>
    </row>
    <row r="81" spans="1:1">
      <c r="A81">
        <v>4.9000000000000004</v>
      </c>
    </row>
    <row r="82" spans="1:1">
      <c r="A82">
        <v>2.1</v>
      </c>
    </row>
    <row r="83" spans="1:1">
      <c r="A83">
        <v>1.6</v>
      </c>
    </row>
    <row r="84" spans="1:1">
      <c r="A84">
        <v>1.1000000000000001</v>
      </c>
    </row>
    <row r="85" spans="1:1">
      <c r="A85">
        <v>7.8</v>
      </c>
    </row>
    <row r="86" spans="1:1">
      <c r="A86">
        <v>1.7</v>
      </c>
    </row>
    <row r="87" spans="1:1">
      <c r="A87">
        <v>2.9</v>
      </c>
    </row>
    <row r="88" spans="1:1">
      <c r="A88">
        <v>4.2</v>
      </c>
    </row>
    <row r="89" spans="1:1">
      <c r="A89">
        <v>8.8000000000000007</v>
      </c>
    </row>
    <row r="90" spans="1:1">
      <c r="A90">
        <v>1.3</v>
      </c>
    </row>
    <row r="91" spans="1:1">
      <c r="A91">
        <v>4.8</v>
      </c>
    </row>
    <row r="92" spans="1:1">
      <c r="A92">
        <v>5.7</v>
      </c>
    </row>
    <row r="93" spans="1:1">
      <c r="A93">
        <v>8.9</v>
      </c>
    </row>
    <row r="94" spans="1:1">
      <c r="A94">
        <v>8.3000000000000007</v>
      </c>
    </row>
    <row r="95" spans="1:1">
      <c r="A95">
        <v>8.6999999999999993</v>
      </c>
    </row>
    <row r="96" spans="1:1">
      <c r="A96">
        <v>3.1</v>
      </c>
    </row>
    <row r="97" spans="1:1">
      <c r="A97">
        <v>4.4000000000000004</v>
      </c>
    </row>
    <row r="98" spans="1:1">
      <c r="A98">
        <v>3.9</v>
      </c>
    </row>
    <row r="99" spans="1:1">
      <c r="A99">
        <v>8.9</v>
      </c>
    </row>
    <row r="100" spans="1:1">
      <c r="A100">
        <v>9.6</v>
      </c>
    </row>
    <row r="101" spans="1:1">
      <c r="A101">
        <v>1.9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zoomScaleNormal="100" workbookViewId="0">
      <selection activeCell="H25" sqref="H25"/>
    </sheetView>
  </sheetViews>
  <sheetFormatPr defaultColWidth="8.77734375" defaultRowHeight="14.4"/>
  <cols>
    <col min="2" max="2" width="12.33203125" customWidth="1"/>
    <col min="3" max="3" width="10.33203125" customWidth="1"/>
    <col min="4" max="4" width="12.6640625" customWidth="1"/>
    <col min="5" max="5" width="17.109375" customWidth="1"/>
    <col min="7" max="7" width="15" customWidth="1"/>
    <col min="8" max="8" width="12.77734375" customWidth="1"/>
    <col min="9" max="9" width="11.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G1" t="s">
        <v>17</v>
      </c>
    </row>
    <row r="2" spans="1:9">
      <c r="A2" s="1">
        <v>1</v>
      </c>
      <c r="B2" s="1">
        <v>1.8</v>
      </c>
      <c r="C2" s="1">
        <v>79</v>
      </c>
      <c r="D2" s="1" cm="1">
        <f t="array" ref="D2:D101">C2:C101/(B2:B101^2)</f>
        <v>24.382716049382715</v>
      </c>
      <c r="E2" s="1" t="str" cm="1">
        <f t="array" ref="E2:E101">_xlfn.LET(
_xlpm.BMI, C2:C101/(B2:B101^2),
_xlfn.IFS(
_xlpm.BMI&lt;18.5,"Gầy",
_xlpm.BMI&lt;25,"Bình thường",
_xlpm.BMI&lt;30,"Thừa cân",
_xlpm.BMI&gt;=30,"Béo phì"
)
)</f>
        <v>Bình thường</v>
      </c>
      <c r="G2" s="4" t="s">
        <v>11</v>
      </c>
      <c r="H2" s="4" t="s">
        <v>12</v>
      </c>
      <c r="I2" s="2"/>
    </row>
    <row r="3" spans="1:9">
      <c r="A3" s="1">
        <v>2</v>
      </c>
      <c r="B3" s="1">
        <v>1.53</v>
      </c>
      <c r="C3" s="1">
        <v>77</v>
      </c>
      <c r="D3" s="1">
        <v>32.893331624588832</v>
      </c>
      <c r="E3" s="1" t="str">
        <v>Béo phì</v>
      </c>
      <c r="G3" s="1" t="s">
        <v>13</v>
      </c>
      <c r="H3" s="1">
        <f>AVERAGE(D2:D101)</f>
        <v>23.855580794398005</v>
      </c>
      <c r="I3" s="3"/>
    </row>
    <row r="4" spans="1:9">
      <c r="A4" s="1">
        <v>3</v>
      </c>
      <c r="B4" s="1">
        <v>1.61</v>
      </c>
      <c r="C4" s="1">
        <v>47</v>
      </c>
      <c r="D4" s="1">
        <v>18.132016511708652</v>
      </c>
      <c r="E4" s="1" t="str">
        <v>Gầy</v>
      </c>
      <c r="G4" s="1" t="s">
        <v>14</v>
      </c>
      <c r="H4" s="1">
        <f>MEDIAN(D2:D101)</f>
        <v>23.592732888249206</v>
      </c>
      <c r="I4" s="3"/>
    </row>
    <row r="5" spans="1:9">
      <c r="A5" s="1">
        <v>4</v>
      </c>
      <c r="B5" s="1">
        <v>1.66</v>
      </c>
      <c r="C5" s="1">
        <v>74</v>
      </c>
      <c r="D5" s="1">
        <v>26.854405574103644</v>
      </c>
      <c r="E5" s="1" t="str">
        <v>Thừa cân</v>
      </c>
      <c r="G5" s="1" t="s">
        <v>15</v>
      </c>
      <c r="H5" s="1">
        <f>_xlfn.VAR.S(D2:D101)</f>
        <v>32.176219530103317</v>
      </c>
      <c r="I5" s="3"/>
    </row>
    <row r="6" spans="1:9">
      <c r="A6" s="1">
        <v>5</v>
      </c>
      <c r="B6" s="1">
        <v>1.83</v>
      </c>
      <c r="C6" s="1">
        <v>53</v>
      </c>
      <c r="D6" s="1">
        <v>15.826092149661081</v>
      </c>
      <c r="E6" s="1" t="str">
        <v>Gầy</v>
      </c>
      <c r="G6" s="1" t="s">
        <v>16</v>
      </c>
      <c r="H6" s="1">
        <f>_xlfn.STDEV.S(D2:D101)</f>
        <v>5.6724086180478324</v>
      </c>
      <c r="I6" s="3"/>
    </row>
    <row r="7" spans="1:9">
      <c r="A7" s="1">
        <v>6</v>
      </c>
      <c r="B7" s="1">
        <v>1.58</v>
      </c>
      <c r="C7" s="1">
        <v>71</v>
      </c>
      <c r="D7" s="1">
        <v>28.440954975164232</v>
      </c>
      <c r="E7" s="1" t="str">
        <v>Thừa cân</v>
      </c>
    </row>
    <row r="8" spans="1:9">
      <c r="A8" s="1">
        <v>7</v>
      </c>
      <c r="B8" s="1">
        <v>1.59</v>
      </c>
      <c r="C8" s="1">
        <v>66</v>
      </c>
      <c r="D8" s="1">
        <v>26.106562240417702</v>
      </c>
      <c r="E8" s="1" t="str">
        <v>Thừa cân</v>
      </c>
    </row>
    <row r="9" spans="1:9">
      <c r="A9" s="1">
        <v>8</v>
      </c>
      <c r="B9" s="1">
        <v>1.66</v>
      </c>
      <c r="C9" s="1">
        <v>70</v>
      </c>
      <c r="D9" s="1">
        <v>25.402816083611555</v>
      </c>
      <c r="E9" s="1" t="str">
        <v>Thừa cân</v>
      </c>
    </row>
    <row r="10" spans="1:9">
      <c r="A10" s="1">
        <v>9</v>
      </c>
      <c r="B10" s="1">
        <v>1.5</v>
      </c>
      <c r="C10" s="1">
        <v>90</v>
      </c>
      <c r="D10" s="1">
        <v>40</v>
      </c>
      <c r="E10" s="1" t="str">
        <v>Béo phì</v>
      </c>
      <c r="G10" t="s">
        <v>10</v>
      </c>
    </row>
    <row r="11" spans="1:9">
      <c r="A11" s="1">
        <v>10</v>
      </c>
      <c r="B11" s="1">
        <v>1.66</v>
      </c>
      <c r="C11" s="1">
        <v>64</v>
      </c>
      <c r="D11" s="1">
        <v>23.225431847873423</v>
      </c>
      <c r="E11" s="1" t="str">
        <v>Bình thường</v>
      </c>
      <c r="G11" s="4" t="s">
        <v>3</v>
      </c>
      <c r="H11" s="4" t="s">
        <v>4</v>
      </c>
      <c r="I11" s="4" t="s">
        <v>5</v>
      </c>
    </row>
    <row r="12" spans="1:9">
      <c r="A12" s="1">
        <v>11</v>
      </c>
      <c r="B12" s="1">
        <v>1.64</v>
      </c>
      <c r="C12" s="1">
        <v>73</v>
      </c>
      <c r="D12" s="1">
        <v>27.141582391433676</v>
      </c>
      <c r="E12" s="1" t="str">
        <v>Thừa cân</v>
      </c>
      <c r="G12" s="1" t="s">
        <v>6</v>
      </c>
      <c r="H12" s="1" cm="1">
        <f t="array" ref="H12:H15">COUNTIF($E$2:$E$101, G12:G15)</f>
        <v>20</v>
      </c>
      <c r="I12" s="1" cm="1">
        <f t="array" ref="I12:I15">H12:H15 / COUNTA($E$2:$E$101)</f>
        <v>0.2</v>
      </c>
    </row>
    <row r="13" spans="1:9">
      <c r="A13" s="1">
        <v>12</v>
      </c>
      <c r="B13" s="1">
        <v>1.6</v>
      </c>
      <c r="C13" s="1">
        <v>80</v>
      </c>
      <c r="D13" s="1">
        <v>31.249999999999993</v>
      </c>
      <c r="E13" s="1" t="str">
        <v>Béo phì</v>
      </c>
      <c r="G13" s="1" t="s">
        <v>7</v>
      </c>
      <c r="H13" s="1">
        <v>38</v>
      </c>
      <c r="I13" s="1">
        <v>0.38</v>
      </c>
    </row>
    <row r="14" spans="1:9">
      <c r="A14" s="1">
        <v>13</v>
      </c>
      <c r="B14" s="1">
        <v>1.83</v>
      </c>
      <c r="C14" s="1">
        <v>85</v>
      </c>
      <c r="D14" s="1">
        <v>25.381468541909282</v>
      </c>
      <c r="E14" s="1" t="str">
        <v>Thừa cân</v>
      </c>
      <c r="G14" s="1" t="s">
        <v>8</v>
      </c>
      <c r="H14" s="1">
        <v>28</v>
      </c>
      <c r="I14" s="1">
        <v>0.28000000000000003</v>
      </c>
    </row>
    <row r="15" spans="1:9">
      <c r="A15" s="1">
        <v>14</v>
      </c>
      <c r="B15" s="1">
        <v>1.54</v>
      </c>
      <c r="C15" s="1">
        <v>47</v>
      </c>
      <c r="D15" s="1">
        <v>19.817844493169169</v>
      </c>
      <c r="E15" s="1" t="str">
        <v>Bình thường</v>
      </c>
      <c r="G15" s="1" t="s">
        <v>9</v>
      </c>
      <c r="H15" s="1">
        <v>14</v>
      </c>
      <c r="I15" s="1">
        <v>0.14000000000000001</v>
      </c>
    </row>
    <row r="16" spans="1:9">
      <c r="A16" s="1">
        <v>15</v>
      </c>
      <c r="B16" s="1">
        <v>1.7</v>
      </c>
      <c r="C16" s="1">
        <v>85</v>
      </c>
      <c r="D16" s="1">
        <v>29.411764705882355</v>
      </c>
      <c r="E16" s="1" t="str">
        <v>Thừa cân</v>
      </c>
    </row>
    <row r="17" spans="1:5">
      <c r="A17" s="1">
        <v>16</v>
      </c>
      <c r="B17" s="1">
        <v>1.71</v>
      </c>
      <c r="C17" s="1">
        <v>75</v>
      </c>
      <c r="D17" s="1">
        <v>25.64891761567662</v>
      </c>
      <c r="E17" s="1" t="str">
        <v>Thừa cân</v>
      </c>
    </row>
    <row r="18" spans="1:5">
      <c r="A18" s="1">
        <v>17</v>
      </c>
      <c r="B18" s="1">
        <v>1.52</v>
      </c>
      <c r="C18" s="1">
        <v>56</v>
      </c>
      <c r="D18" s="1">
        <v>24.238227146814403</v>
      </c>
      <c r="E18" s="1" t="str">
        <v>Bình thường</v>
      </c>
    </row>
    <row r="19" spans="1:5">
      <c r="A19" s="1">
        <v>18</v>
      </c>
      <c r="B19" s="1">
        <v>1.81</v>
      </c>
      <c r="C19" s="1">
        <v>79</v>
      </c>
      <c r="D19" s="1">
        <v>24.114038033027075</v>
      </c>
      <c r="E19" s="1" t="str">
        <v>Bình thường</v>
      </c>
    </row>
    <row r="20" spans="1:5">
      <c r="A20" s="1">
        <v>19</v>
      </c>
      <c r="B20" s="1">
        <v>1.52</v>
      </c>
      <c r="C20" s="1">
        <v>60</v>
      </c>
      <c r="D20" s="1">
        <v>25.969529085872576</v>
      </c>
      <c r="E20" s="1" t="str">
        <v>Thừa cân</v>
      </c>
    </row>
    <row r="21" spans="1:5">
      <c r="A21" s="1">
        <v>20</v>
      </c>
      <c r="B21" s="1">
        <v>1.84</v>
      </c>
      <c r="C21" s="1">
        <v>64</v>
      </c>
      <c r="D21" s="1">
        <v>18.903591682419659</v>
      </c>
      <c r="E21" s="1" t="str">
        <v>Bình thường</v>
      </c>
    </row>
    <row r="22" spans="1:5">
      <c r="A22" s="1">
        <v>21</v>
      </c>
      <c r="B22" s="1">
        <v>1.6</v>
      </c>
      <c r="C22" s="1">
        <v>50</v>
      </c>
      <c r="D22" s="1">
        <v>19.531249999999996</v>
      </c>
      <c r="E22" s="1" t="str">
        <v>Bình thường</v>
      </c>
    </row>
    <row r="23" spans="1:5">
      <c r="A23" s="1">
        <v>22</v>
      </c>
      <c r="B23" s="1">
        <v>1.6</v>
      </c>
      <c r="C23" s="1">
        <v>74</v>
      </c>
      <c r="D23" s="1">
        <v>28.906249999999993</v>
      </c>
      <c r="E23" s="1" t="str">
        <v>Thừa cân</v>
      </c>
    </row>
    <row r="24" spans="1:5">
      <c r="A24" s="1">
        <v>23</v>
      </c>
      <c r="B24" s="1">
        <v>1.62</v>
      </c>
      <c r="C24" s="1">
        <v>51</v>
      </c>
      <c r="D24" s="1">
        <v>19.433013260173752</v>
      </c>
      <c r="E24" s="1" t="str">
        <v>Bình thường</v>
      </c>
    </row>
    <row r="25" spans="1:5">
      <c r="A25" s="1">
        <v>24</v>
      </c>
      <c r="B25" s="1">
        <v>1.53</v>
      </c>
      <c r="C25" s="1">
        <v>60</v>
      </c>
      <c r="D25" s="1">
        <v>25.631167499679609</v>
      </c>
      <c r="E25" s="1" t="str">
        <v>Thừa cân</v>
      </c>
    </row>
    <row r="26" spans="1:5">
      <c r="A26" s="1">
        <v>25</v>
      </c>
      <c r="B26" s="1">
        <v>1.5</v>
      </c>
      <c r="C26" s="1">
        <v>80</v>
      </c>
      <c r="D26" s="1">
        <v>35.555555555555557</v>
      </c>
      <c r="E26" s="1" t="str">
        <v>Béo phì</v>
      </c>
    </row>
    <row r="27" spans="1:5">
      <c r="A27" s="1">
        <v>26</v>
      </c>
      <c r="B27" s="1">
        <v>1.72</v>
      </c>
      <c r="C27" s="1">
        <v>86</v>
      </c>
      <c r="D27" s="1">
        <v>29.069767441860467</v>
      </c>
      <c r="E27" s="1" t="str">
        <v>Thừa cân</v>
      </c>
    </row>
    <row r="28" spans="1:5">
      <c r="A28" s="1">
        <v>27</v>
      </c>
      <c r="B28" s="1">
        <v>1.76</v>
      </c>
      <c r="C28" s="1">
        <v>89</v>
      </c>
      <c r="D28" s="1">
        <v>28.731921487603305</v>
      </c>
      <c r="E28" s="1" t="str">
        <v>Thừa cân</v>
      </c>
    </row>
    <row r="29" spans="1:5">
      <c r="A29" s="1">
        <v>28</v>
      </c>
      <c r="B29" s="1">
        <v>1.56</v>
      </c>
      <c r="C29" s="1">
        <v>46</v>
      </c>
      <c r="D29" s="1">
        <v>18.902038132807363</v>
      </c>
      <c r="E29" s="1" t="str">
        <v>Bình thường</v>
      </c>
    </row>
    <row r="30" spans="1:5">
      <c r="A30" s="1">
        <v>29</v>
      </c>
      <c r="B30" s="1">
        <v>1.72</v>
      </c>
      <c r="C30" s="1">
        <v>83</v>
      </c>
      <c r="D30" s="1">
        <v>28.055705786911847</v>
      </c>
      <c r="E30" s="1" t="str">
        <v>Thừa cân</v>
      </c>
    </row>
    <row r="31" spans="1:5">
      <c r="A31" s="1">
        <v>30</v>
      </c>
      <c r="B31" s="1">
        <v>1.8</v>
      </c>
      <c r="C31" s="1">
        <v>49</v>
      </c>
      <c r="D31" s="1">
        <v>15.123456790123456</v>
      </c>
      <c r="E31" s="1" t="str">
        <v>Gầy</v>
      </c>
    </row>
    <row r="32" spans="1:5">
      <c r="A32" s="1">
        <v>31</v>
      </c>
      <c r="B32" s="1">
        <v>1.76</v>
      </c>
      <c r="C32" s="1">
        <v>65</v>
      </c>
      <c r="D32" s="1">
        <v>20.983987603305785</v>
      </c>
      <c r="E32" s="1" t="str">
        <v>Bình thường</v>
      </c>
    </row>
    <row r="33" spans="1:5">
      <c r="A33" s="1">
        <v>32</v>
      </c>
      <c r="B33" s="1">
        <v>1.84</v>
      </c>
      <c r="C33" s="1">
        <v>59</v>
      </c>
      <c r="D33" s="1">
        <v>17.426748582230623</v>
      </c>
      <c r="E33" s="1" t="str">
        <v>Gầy</v>
      </c>
    </row>
    <row r="34" spans="1:5">
      <c r="A34" s="1">
        <v>33</v>
      </c>
      <c r="B34" s="1">
        <v>1.74</v>
      </c>
      <c r="C34" s="1">
        <v>84</v>
      </c>
      <c r="D34" s="1">
        <v>27.744748315497421</v>
      </c>
      <c r="E34" s="1" t="str">
        <v>Thừa cân</v>
      </c>
    </row>
    <row r="35" spans="1:5">
      <c r="A35" s="1">
        <v>34</v>
      </c>
      <c r="B35" s="1">
        <v>1.82</v>
      </c>
      <c r="C35" s="1">
        <v>87</v>
      </c>
      <c r="D35" s="1">
        <v>26.26494384736143</v>
      </c>
      <c r="E35" s="1" t="str">
        <v>Thừa cân</v>
      </c>
    </row>
    <row r="36" spans="1:5">
      <c r="A36" s="1">
        <v>35</v>
      </c>
      <c r="B36" s="1">
        <v>1.77</v>
      </c>
      <c r="C36" s="1">
        <v>64</v>
      </c>
      <c r="D36" s="1">
        <v>20.428357113217785</v>
      </c>
      <c r="E36" s="1" t="str">
        <v>Bình thường</v>
      </c>
    </row>
    <row r="37" spans="1:5">
      <c r="A37" s="1">
        <v>36</v>
      </c>
      <c r="B37" s="1">
        <v>1.78</v>
      </c>
      <c r="C37" s="1">
        <v>83</v>
      </c>
      <c r="D37" s="1">
        <v>26.196187350082059</v>
      </c>
      <c r="E37" s="1" t="str">
        <v>Thừa cân</v>
      </c>
    </row>
    <row r="38" spans="1:5">
      <c r="A38" s="1">
        <v>37</v>
      </c>
      <c r="B38" s="1">
        <v>1.63</v>
      </c>
      <c r="C38" s="1">
        <v>54</v>
      </c>
      <c r="D38" s="1">
        <v>20.324438255109339</v>
      </c>
      <c r="E38" s="1" t="str">
        <v>Bình thường</v>
      </c>
    </row>
    <row r="39" spans="1:5">
      <c r="A39" s="1">
        <v>38</v>
      </c>
      <c r="B39" s="1">
        <v>1.72</v>
      </c>
      <c r="C39" s="1">
        <v>68</v>
      </c>
      <c r="D39" s="1">
        <v>22.985397512168742</v>
      </c>
      <c r="E39" s="1" t="str">
        <v>Bình thường</v>
      </c>
    </row>
    <row r="40" spans="1:5">
      <c r="A40" s="1">
        <v>39</v>
      </c>
      <c r="B40" s="1">
        <v>1.7</v>
      </c>
      <c r="C40" s="1">
        <v>49</v>
      </c>
      <c r="D40" s="1">
        <v>16.955017301038065</v>
      </c>
      <c r="E40" s="1" t="str">
        <v>Gầy</v>
      </c>
    </row>
    <row r="41" spans="1:5">
      <c r="A41" s="1">
        <v>40</v>
      </c>
      <c r="B41" s="1">
        <v>1.73</v>
      </c>
      <c r="C41" s="1">
        <v>61</v>
      </c>
      <c r="D41" s="1">
        <v>20.381569714992146</v>
      </c>
      <c r="E41" s="1" t="str">
        <v>Bình thường</v>
      </c>
    </row>
    <row r="42" spans="1:5">
      <c r="A42" s="1">
        <v>41</v>
      </c>
      <c r="B42" s="1">
        <v>1.66</v>
      </c>
      <c r="C42" s="1">
        <v>83</v>
      </c>
      <c r="D42" s="1">
        <v>30.120481927710845</v>
      </c>
      <c r="E42" s="1" t="str">
        <v>Béo phì</v>
      </c>
    </row>
    <row r="43" spans="1:5">
      <c r="A43" s="1">
        <v>42</v>
      </c>
      <c r="B43" s="1">
        <v>1.66</v>
      </c>
      <c r="C43" s="1">
        <v>80</v>
      </c>
      <c r="D43" s="1">
        <v>29.031789809841779</v>
      </c>
      <c r="E43" s="1" t="str">
        <v>Thừa cân</v>
      </c>
    </row>
    <row r="44" spans="1:5">
      <c r="A44" s="1">
        <v>43</v>
      </c>
      <c r="B44" s="1">
        <v>1.82</v>
      </c>
      <c r="C44" s="1">
        <v>77</v>
      </c>
      <c r="D44" s="1">
        <v>23.245984784446321</v>
      </c>
      <c r="E44" s="1" t="str">
        <v>Bình thường</v>
      </c>
    </row>
    <row r="45" spans="1:5">
      <c r="A45" s="1">
        <v>44</v>
      </c>
      <c r="B45" s="1">
        <v>1.58</v>
      </c>
      <c r="C45" s="1">
        <v>57</v>
      </c>
      <c r="D45" s="1">
        <v>22.832879346258608</v>
      </c>
      <c r="E45" s="1" t="str">
        <v>Bình thường</v>
      </c>
    </row>
    <row r="46" spans="1:5">
      <c r="A46" s="1">
        <v>45</v>
      </c>
      <c r="B46" s="1">
        <v>1.51</v>
      </c>
      <c r="C46" s="1">
        <v>79</v>
      </c>
      <c r="D46" s="1">
        <v>34.647603175299331</v>
      </c>
      <c r="E46" s="1" t="str">
        <v>Béo phì</v>
      </c>
    </row>
    <row r="47" spans="1:5">
      <c r="A47" s="1">
        <v>46</v>
      </c>
      <c r="B47" s="1">
        <v>1.77</v>
      </c>
      <c r="C47" s="1">
        <v>75</v>
      </c>
      <c r="D47" s="1">
        <v>23.93948099205209</v>
      </c>
      <c r="E47" s="1" t="str">
        <v>Bình thường</v>
      </c>
    </row>
    <row r="48" spans="1:5">
      <c r="A48" s="1">
        <v>47</v>
      </c>
      <c r="B48" s="1">
        <v>1.61</v>
      </c>
      <c r="C48" s="1">
        <v>54</v>
      </c>
      <c r="D48" s="1">
        <v>20.832529609197174</v>
      </c>
      <c r="E48" s="1" t="str">
        <v>Bình thường</v>
      </c>
    </row>
    <row r="49" spans="1:5">
      <c r="A49" s="1">
        <v>48</v>
      </c>
      <c r="B49" s="1">
        <v>1.51</v>
      </c>
      <c r="C49" s="1">
        <v>60</v>
      </c>
      <c r="D49" s="1">
        <v>26.314635323012148</v>
      </c>
      <c r="E49" s="1" t="str">
        <v>Thừa cân</v>
      </c>
    </row>
    <row r="50" spans="1:5">
      <c r="A50" s="1">
        <v>49</v>
      </c>
      <c r="B50" s="1">
        <v>1.8</v>
      </c>
      <c r="C50" s="1">
        <v>55</v>
      </c>
      <c r="D50" s="1">
        <v>16.975308641975307</v>
      </c>
      <c r="E50" s="1" t="str">
        <v>Gầy</v>
      </c>
    </row>
    <row r="51" spans="1:5">
      <c r="A51" s="1">
        <v>50</v>
      </c>
      <c r="B51" s="1">
        <v>1.52</v>
      </c>
      <c r="C51" s="1">
        <v>80</v>
      </c>
      <c r="D51" s="1">
        <v>34.626038781163437</v>
      </c>
      <c r="E51" s="1" t="str">
        <v>Béo phì</v>
      </c>
    </row>
    <row r="52" spans="1:5">
      <c r="A52" s="1">
        <v>51</v>
      </c>
      <c r="B52" s="1">
        <v>1.78</v>
      </c>
      <c r="C52" s="1">
        <v>70</v>
      </c>
      <c r="D52" s="1">
        <v>22.093170054286073</v>
      </c>
      <c r="E52" s="1" t="str">
        <v>Bình thường</v>
      </c>
    </row>
    <row r="53" spans="1:5">
      <c r="A53" s="1">
        <v>52</v>
      </c>
      <c r="B53" s="1">
        <v>1.84</v>
      </c>
      <c r="C53" s="1">
        <v>72</v>
      </c>
      <c r="D53" s="1">
        <v>21.266540642722116</v>
      </c>
      <c r="E53" s="1" t="str">
        <v>Bình thường</v>
      </c>
    </row>
    <row r="54" spans="1:5">
      <c r="A54" s="1">
        <v>53</v>
      </c>
      <c r="B54" s="1">
        <v>1.71</v>
      </c>
      <c r="C54" s="1">
        <v>55</v>
      </c>
      <c r="D54" s="1">
        <v>18.809206251496189</v>
      </c>
      <c r="E54" s="1" t="str">
        <v>Bình thường</v>
      </c>
    </row>
    <row r="55" spans="1:5">
      <c r="A55" s="1">
        <v>54</v>
      </c>
      <c r="B55" s="1">
        <v>1.57</v>
      </c>
      <c r="C55" s="1">
        <v>72</v>
      </c>
      <c r="D55" s="1">
        <v>29.210109943608259</v>
      </c>
      <c r="E55" s="1" t="str">
        <v>Thừa cân</v>
      </c>
    </row>
    <row r="56" spans="1:5">
      <c r="A56" s="1">
        <v>55</v>
      </c>
      <c r="B56" s="1">
        <v>1.8</v>
      </c>
      <c r="C56" s="1">
        <v>85</v>
      </c>
      <c r="D56" s="1">
        <v>26.234567901234566</v>
      </c>
      <c r="E56" s="1" t="str">
        <v>Thừa cân</v>
      </c>
    </row>
    <row r="57" spans="1:5">
      <c r="A57" s="1">
        <v>56</v>
      </c>
      <c r="B57" s="1">
        <v>1.57</v>
      </c>
      <c r="C57" s="1">
        <v>45</v>
      </c>
      <c r="D57" s="1">
        <v>18.25631871475516</v>
      </c>
      <c r="E57" s="1" t="str">
        <v>Gầy</v>
      </c>
    </row>
    <row r="58" spans="1:5">
      <c r="A58" s="1">
        <v>57</v>
      </c>
      <c r="B58" s="1">
        <v>1.53</v>
      </c>
      <c r="C58" s="1">
        <v>50</v>
      </c>
      <c r="D58" s="1">
        <v>21.35930624973301</v>
      </c>
      <c r="E58" s="1" t="str">
        <v>Bình thường</v>
      </c>
    </row>
    <row r="59" spans="1:5">
      <c r="A59" s="1">
        <v>58</v>
      </c>
      <c r="B59" s="1">
        <v>1.84</v>
      </c>
      <c r="C59" s="1">
        <v>49</v>
      </c>
      <c r="D59" s="1">
        <v>14.473062381852552</v>
      </c>
      <c r="E59" s="1" t="str">
        <v>Gầy</v>
      </c>
    </row>
    <row r="60" spans="1:5">
      <c r="A60" s="1">
        <v>59</v>
      </c>
      <c r="B60" s="1">
        <v>1.54</v>
      </c>
      <c r="C60" s="1">
        <v>57</v>
      </c>
      <c r="D60" s="1">
        <v>24.034407151290267</v>
      </c>
      <c r="E60" s="1" t="str">
        <v>Bình thường</v>
      </c>
    </row>
    <row r="61" spans="1:5">
      <c r="A61" s="1">
        <v>60</v>
      </c>
      <c r="B61" s="1">
        <v>1.64</v>
      </c>
      <c r="C61" s="1">
        <v>86</v>
      </c>
      <c r="D61" s="1">
        <v>31.975014872099948</v>
      </c>
      <c r="E61" s="1" t="str">
        <v>Béo phì</v>
      </c>
    </row>
    <row r="62" spans="1:5">
      <c r="A62" s="1">
        <v>61</v>
      </c>
      <c r="B62" s="1">
        <v>1.54</v>
      </c>
      <c r="C62" s="1">
        <v>76</v>
      </c>
      <c r="D62" s="1">
        <v>32.045876201720361</v>
      </c>
      <c r="E62" s="1" t="str">
        <v>Béo phì</v>
      </c>
    </row>
    <row r="63" spans="1:5">
      <c r="A63" s="1">
        <v>62</v>
      </c>
      <c r="B63" s="1">
        <v>1.83</v>
      </c>
      <c r="C63" s="1">
        <v>58</v>
      </c>
      <c r="D63" s="1">
        <v>17.319119710949863</v>
      </c>
      <c r="E63" s="1" t="str">
        <v>Gầy</v>
      </c>
    </row>
    <row r="64" spans="1:5">
      <c r="A64" s="1">
        <v>63</v>
      </c>
      <c r="B64" s="1">
        <v>1.67</v>
      </c>
      <c r="C64" s="1">
        <v>63</v>
      </c>
      <c r="D64" s="1">
        <v>22.589551436050055</v>
      </c>
      <c r="E64" s="1" t="str">
        <v>Bình thường</v>
      </c>
    </row>
    <row r="65" spans="1:5">
      <c r="A65" s="1">
        <v>64</v>
      </c>
      <c r="B65" s="1">
        <v>1.58</v>
      </c>
      <c r="C65" s="1">
        <v>45</v>
      </c>
      <c r="D65" s="1">
        <v>18.025957378625218</v>
      </c>
      <c r="E65" s="1" t="str">
        <v>Gầy</v>
      </c>
    </row>
    <row r="66" spans="1:5">
      <c r="A66" s="1">
        <v>65</v>
      </c>
      <c r="B66" s="1">
        <v>1.85</v>
      </c>
      <c r="C66" s="1">
        <v>67</v>
      </c>
      <c r="D66" s="1">
        <v>19.576333089846603</v>
      </c>
      <c r="E66" s="1" t="str">
        <v>Bình thường</v>
      </c>
    </row>
    <row r="67" spans="1:5">
      <c r="A67" s="1">
        <v>66</v>
      </c>
      <c r="B67" s="1">
        <v>1.81</v>
      </c>
      <c r="C67" s="1">
        <v>71</v>
      </c>
      <c r="D67" s="1">
        <v>21.672110130948383</v>
      </c>
      <c r="E67" s="1" t="str">
        <v>Bình thường</v>
      </c>
    </row>
    <row r="68" spans="1:5">
      <c r="A68" s="1">
        <v>67</v>
      </c>
      <c r="B68" s="1">
        <v>1.83</v>
      </c>
      <c r="C68" s="1">
        <v>81</v>
      </c>
      <c r="D68" s="1">
        <v>24.187046492878256</v>
      </c>
      <c r="E68" s="1" t="str">
        <v>Bình thường</v>
      </c>
    </row>
    <row r="69" spans="1:5">
      <c r="A69" s="1">
        <v>68</v>
      </c>
      <c r="B69" s="1">
        <v>1.78</v>
      </c>
      <c r="C69" s="1">
        <v>70</v>
      </c>
      <c r="D69" s="1">
        <v>22.093170054286073</v>
      </c>
      <c r="E69" s="1" t="str">
        <v>Bình thường</v>
      </c>
    </row>
    <row r="70" spans="1:5">
      <c r="A70" s="1">
        <v>69</v>
      </c>
      <c r="B70" s="1">
        <v>1.73</v>
      </c>
      <c r="C70" s="1">
        <v>49</v>
      </c>
      <c r="D70" s="1">
        <v>16.372080590731397</v>
      </c>
      <c r="E70" s="1" t="str">
        <v>Gầy</v>
      </c>
    </row>
    <row r="71" spans="1:5">
      <c r="A71" s="1">
        <v>70</v>
      </c>
      <c r="B71" s="1">
        <v>1.59</v>
      </c>
      <c r="C71" s="1">
        <v>88</v>
      </c>
      <c r="D71" s="1">
        <v>34.808749653890267</v>
      </c>
      <c r="E71" s="1" t="str">
        <v>Béo phì</v>
      </c>
    </row>
    <row r="72" spans="1:5">
      <c r="A72" s="1">
        <v>71</v>
      </c>
      <c r="B72" s="1">
        <v>1.84</v>
      </c>
      <c r="C72" s="1">
        <v>68</v>
      </c>
      <c r="D72" s="1">
        <v>20.085066162570886</v>
      </c>
      <c r="E72" s="1" t="str">
        <v>Bình thường</v>
      </c>
    </row>
    <row r="73" spans="1:5">
      <c r="A73" s="1">
        <v>72</v>
      </c>
      <c r="B73" s="1">
        <v>1.63</v>
      </c>
      <c r="C73" s="1">
        <v>80</v>
      </c>
      <c r="D73" s="1">
        <v>30.110278896458279</v>
      </c>
      <c r="E73" s="1" t="str">
        <v>Béo phì</v>
      </c>
    </row>
    <row r="74" spans="1:5">
      <c r="A74" s="1">
        <v>73</v>
      </c>
      <c r="B74" s="1">
        <v>1.85</v>
      </c>
      <c r="C74" s="1">
        <v>52</v>
      </c>
      <c r="D74" s="1">
        <v>15.193571950328705</v>
      </c>
      <c r="E74" s="1" t="str">
        <v>Gầy</v>
      </c>
    </row>
    <row r="75" spans="1:5">
      <c r="A75" s="1">
        <v>74</v>
      </c>
      <c r="B75" s="1">
        <v>1.75</v>
      </c>
      <c r="C75" s="1">
        <v>79</v>
      </c>
      <c r="D75" s="1">
        <v>25.795918367346939</v>
      </c>
      <c r="E75" s="1" t="str">
        <v>Thừa cân</v>
      </c>
    </row>
    <row r="76" spans="1:5">
      <c r="A76" s="1">
        <v>75</v>
      </c>
      <c r="B76" s="1">
        <v>1.81</v>
      </c>
      <c r="C76" s="1">
        <v>74</v>
      </c>
      <c r="D76" s="1">
        <v>22.587833094227893</v>
      </c>
      <c r="E76" s="1" t="str">
        <v>Bình thường</v>
      </c>
    </row>
    <row r="77" spans="1:5">
      <c r="A77" s="1">
        <v>76</v>
      </c>
      <c r="B77" s="1">
        <v>1.8</v>
      </c>
      <c r="C77" s="1">
        <v>88</v>
      </c>
      <c r="D77" s="1">
        <v>27.160493827160494</v>
      </c>
      <c r="E77" s="1" t="str">
        <v>Thừa cân</v>
      </c>
    </row>
    <row r="78" spans="1:5">
      <c r="A78" s="1">
        <v>77</v>
      </c>
      <c r="B78" s="1">
        <v>1.63</v>
      </c>
      <c r="C78" s="1">
        <v>86</v>
      </c>
      <c r="D78" s="1">
        <v>32.368549813692653</v>
      </c>
      <c r="E78" s="1" t="str">
        <v>Béo phì</v>
      </c>
    </row>
    <row r="79" spans="1:5">
      <c r="A79" s="1">
        <v>78</v>
      </c>
      <c r="B79" s="1">
        <v>1.69</v>
      </c>
      <c r="C79" s="1">
        <v>77</v>
      </c>
      <c r="D79" s="1">
        <v>26.959840341724732</v>
      </c>
      <c r="E79" s="1" t="str">
        <v>Thừa cân</v>
      </c>
    </row>
    <row r="80" spans="1:5">
      <c r="A80" s="1">
        <v>79</v>
      </c>
      <c r="B80" s="1">
        <v>1.7</v>
      </c>
      <c r="C80" s="1">
        <v>63</v>
      </c>
      <c r="D80" s="1">
        <v>21.79930795847751</v>
      </c>
      <c r="E80" s="1" t="str">
        <v>Bình thường</v>
      </c>
    </row>
    <row r="81" spans="1:5">
      <c r="A81" s="1">
        <v>80</v>
      </c>
      <c r="B81" s="1">
        <v>1.58</v>
      </c>
      <c r="C81" s="1">
        <v>80</v>
      </c>
      <c r="D81" s="1">
        <v>32.046146450889275</v>
      </c>
      <c r="E81" s="1" t="str">
        <v>Béo phì</v>
      </c>
    </row>
    <row r="82" spans="1:5">
      <c r="A82" s="1">
        <v>81</v>
      </c>
      <c r="B82" s="1">
        <v>1.58</v>
      </c>
      <c r="C82" s="1">
        <v>73</v>
      </c>
      <c r="D82" s="1">
        <v>29.242108636436463</v>
      </c>
      <c r="E82" s="1" t="str">
        <v>Thừa cân</v>
      </c>
    </row>
    <row r="83" spans="1:5">
      <c r="A83" s="1">
        <v>82</v>
      </c>
      <c r="B83" s="1">
        <v>1.64</v>
      </c>
      <c r="C83" s="1">
        <v>61</v>
      </c>
      <c r="D83" s="1">
        <v>22.679952409280194</v>
      </c>
      <c r="E83" s="1" t="str">
        <v>Bình thường</v>
      </c>
    </row>
    <row r="84" spans="1:5">
      <c r="A84" s="1">
        <v>83</v>
      </c>
      <c r="B84" s="1">
        <v>1.52</v>
      </c>
      <c r="C84" s="1">
        <v>47</v>
      </c>
      <c r="D84" s="1">
        <v>20.342797783933516</v>
      </c>
      <c r="E84" s="1" t="str">
        <v>Bình thường</v>
      </c>
    </row>
    <row r="85" spans="1:5">
      <c r="A85" s="1">
        <v>84</v>
      </c>
      <c r="B85" s="1">
        <v>1.81</v>
      </c>
      <c r="C85" s="1">
        <v>46</v>
      </c>
      <c r="D85" s="1">
        <v>14.041085436952473</v>
      </c>
      <c r="E85" s="1" t="str">
        <v>Gầy</v>
      </c>
    </row>
    <row r="86" spans="1:5">
      <c r="A86" s="1">
        <v>85</v>
      </c>
      <c r="B86" s="1">
        <v>1.51</v>
      </c>
      <c r="C86" s="1">
        <v>85</v>
      </c>
      <c r="D86" s="1">
        <v>37.279066707600542</v>
      </c>
      <c r="E86" s="1" t="str">
        <v>Béo phì</v>
      </c>
    </row>
    <row r="87" spans="1:5">
      <c r="A87" s="1">
        <v>86</v>
      </c>
      <c r="B87" s="1">
        <v>1.6</v>
      </c>
      <c r="C87" s="1">
        <v>47</v>
      </c>
      <c r="D87" s="1">
        <v>18.359374999999996</v>
      </c>
      <c r="E87" s="1" t="str">
        <v>Gầy</v>
      </c>
    </row>
    <row r="88" spans="1:5">
      <c r="A88" s="1">
        <v>87</v>
      </c>
      <c r="B88" s="1">
        <v>1.63</v>
      </c>
      <c r="C88" s="1">
        <v>51</v>
      </c>
      <c r="D88" s="1">
        <v>19.195302796492154</v>
      </c>
      <c r="E88" s="1" t="str">
        <v>Bình thường</v>
      </c>
    </row>
    <row r="89" spans="1:5">
      <c r="A89" s="1">
        <v>88</v>
      </c>
      <c r="B89" s="1">
        <v>1.73</v>
      </c>
      <c r="C89" s="1">
        <v>56</v>
      </c>
      <c r="D89" s="1">
        <v>18.710949246550168</v>
      </c>
      <c r="E89" s="1" t="str">
        <v>Bình thường</v>
      </c>
    </row>
    <row r="90" spans="1:5">
      <c r="A90" s="1">
        <v>89</v>
      </c>
      <c r="B90" s="1">
        <v>1.65</v>
      </c>
      <c r="C90" s="1">
        <v>73</v>
      </c>
      <c r="D90" s="1">
        <v>26.813590449954088</v>
      </c>
      <c r="E90" s="1" t="str">
        <v>Thừa cân</v>
      </c>
    </row>
    <row r="91" spans="1:5">
      <c r="A91" s="1">
        <v>90</v>
      </c>
      <c r="B91" s="1">
        <v>1.61</v>
      </c>
      <c r="C91" s="1">
        <v>63</v>
      </c>
      <c r="D91" s="1">
        <v>24.304617877396701</v>
      </c>
      <c r="E91" s="1" t="str">
        <v>Bình thường</v>
      </c>
    </row>
    <row r="92" spans="1:5">
      <c r="A92" s="1">
        <v>91</v>
      </c>
      <c r="B92" s="1">
        <v>1.71</v>
      </c>
      <c r="C92" s="1">
        <v>54</v>
      </c>
      <c r="D92" s="1">
        <v>18.467220683287167</v>
      </c>
      <c r="E92" s="1" t="str">
        <v>Gầy</v>
      </c>
    </row>
    <row r="93" spans="1:5">
      <c r="A93" s="1">
        <v>92</v>
      </c>
      <c r="B93" s="1">
        <v>1.84</v>
      </c>
      <c r="C93" s="1">
        <v>50</v>
      </c>
      <c r="D93" s="1">
        <v>14.768431001890358</v>
      </c>
      <c r="E93" s="1" t="str">
        <v>Gầy</v>
      </c>
    </row>
    <row r="94" spans="1:5">
      <c r="A94" s="1">
        <v>93</v>
      </c>
      <c r="B94" s="1">
        <v>1.8</v>
      </c>
      <c r="C94" s="1">
        <v>57</v>
      </c>
      <c r="D94" s="1">
        <v>17.592592592592592</v>
      </c>
      <c r="E94" s="1" t="str">
        <v>Gầy</v>
      </c>
    </row>
    <row r="95" spans="1:5">
      <c r="A95" s="1">
        <v>94</v>
      </c>
      <c r="B95" s="1">
        <v>1.6</v>
      </c>
      <c r="C95" s="1">
        <v>62</v>
      </c>
      <c r="D95" s="1">
        <v>24.218749999999996</v>
      </c>
      <c r="E95" s="1" t="str">
        <v>Bình thường</v>
      </c>
    </row>
    <row r="96" spans="1:5">
      <c r="A96" s="1">
        <v>95</v>
      </c>
      <c r="B96" s="1">
        <v>1.68</v>
      </c>
      <c r="C96" s="1">
        <v>76</v>
      </c>
      <c r="D96" s="1">
        <v>26.927437641723358</v>
      </c>
      <c r="E96" s="1" t="str">
        <v>Thừa cân</v>
      </c>
    </row>
    <row r="97" spans="1:5">
      <c r="A97" s="1">
        <v>96</v>
      </c>
      <c r="B97" s="1">
        <v>1.77</v>
      </c>
      <c r="C97" s="1">
        <v>83</v>
      </c>
      <c r="D97" s="1">
        <v>26.493025631204315</v>
      </c>
      <c r="E97" s="1" t="str">
        <v>Thừa cân</v>
      </c>
    </row>
    <row r="98" spans="1:5">
      <c r="A98" s="1">
        <v>97</v>
      </c>
      <c r="B98" s="1">
        <v>1.7</v>
      </c>
      <c r="C98" s="1">
        <v>50</v>
      </c>
      <c r="D98" s="1">
        <v>17.301038062283737</v>
      </c>
      <c r="E98" s="1" t="str">
        <v>Gầy</v>
      </c>
    </row>
    <row r="99" spans="1:5">
      <c r="A99" s="1">
        <v>98</v>
      </c>
      <c r="B99" s="1">
        <v>1.76</v>
      </c>
      <c r="C99" s="1">
        <v>46</v>
      </c>
      <c r="D99" s="1">
        <v>14.850206611570249</v>
      </c>
      <c r="E99" s="1" t="str">
        <v>Gầy</v>
      </c>
    </row>
    <row r="100" spans="1:5">
      <c r="A100" s="1">
        <v>99</v>
      </c>
      <c r="B100" s="1">
        <v>1.81</v>
      </c>
      <c r="C100" s="1">
        <v>75</v>
      </c>
      <c r="D100" s="1">
        <v>22.893074081987731</v>
      </c>
      <c r="E100" s="1" t="str">
        <v>Bình thường</v>
      </c>
    </row>
    <row r="101" spans="1:5">
      <c r="A101" s="1">
        <v>100</v>
      </c>
      <c r="B101" s="1">
        <v>1.79</v>
      </c>
      <c r="C101" s="1">
        <v>52</v>
      </c>
      <c r="D101" s="1">
        <v>16.229206329390468</v>
      </c>
      <c r="E101" s="1" t="str">
        <v>Gầy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Internet_Data</vt:lpstr>
      <vt:lpstr>BMI_Data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2025-12-26T03:37:57Z</dcterms:created>
  <dcterms:modified xsi:type="dcterms:W3CDTF">2025-12-27T10:05:05Z</dcterms:modified>
</cp:coreProperties>
</file>